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mbsalasc_tottus_cl/Documents/Escritorio/Developer/Automatismo/Automatizaciones/Salidas Manuales/"/>
    </mc:Choice>
  </mc:AlternateContent>
  <xr:revisionPtr revIDLastSave="5" documentId="8_{85F025D9-9E51-4676-AF4E-B3D0D5AF9E99}" xr6:coauthVersionLast="47" xr6:coauthVersionMax="47" xr10:uidLastSave="{7F4A3E61-09AF-4519-AA0D-3CEA5FDE3D9C}"/>
  <bookViews>
    <workbookView xWindow="-110" yWindow="-110" windowWidth="19420" windowHeight="10300" xr2:uid="{F119F33E-CDED-44E0-A194-04A373BFCEAB}"/>
  </bookViews>
  <sheets>
    <sheet name="SM" sheetId="1" r:id="rId1"/>
    <sheet name="Hoja1" sheetId="2" r:id="rId2"/>
  </sheets>
  <calcPr calcId="0"/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</calcChain>
</file>

<file path=xl/sharedStrings.xml><?xml version="1.0" encoding="utf-8"?>
<sst xmlns="http://schemas.openxmlformats.org/spreadsheetml/2006/main" count="150" uniqueCount="110">
  <si>
    <t>CD</t>
  </si>
  <si>
    <t>LOCAL</t>
  </si>
  <si>
    <t>LPN</t>
  </si>
  <si>
    <t>LPN_DESTINO</t>
  </si>
  <si>
    <t>LOCAL_DESTINO</t>
  </si>
  <si>
    <t>DESCRIPTION</t>
  </si>
  <si>
    <t>SKU</t>
  </si>
  <si>
    <t>EAN</t>
  </si>
  <si>
    <t>DESCRIPCION</t>
  </si>
  <si>
    <t>MUNDO</t>
  </si>
  <si>
    <t>UT</t>
  </si>
  <si>
    <t>CAJAS</t>
  </si>
  <si>
    <t>UN_INI</t>
  </si>
  <si>
    <t>CAJAS_INI</t>
  </si>
  <si>
    <t>LPN435000001927731</t>
  </si>
  <si>
    <t>Cancelled</t>
  </si>
  <si>
    <t>AM</t>
  </si>
  <si>
    <t>ALIM HUMEDO POLLO PEDIGREE 100G POUCH</t>
  </si>
  <si>
    <t>GALL PERRO ADUL PEDIGR BISCROK 500G BOLS</t>
  </si>
  <si>
    <t>WHISKAS CARNE 1 KG. BOLSA</t>
  </si>
  <si>
    <t>FELIX GATITOS PESCADO 85GR POUCH</t>
  </si>
  <si>
    <t>LPN435000001944975</t>
  </si>
  <si>
    <t>AB</t>
  </si>
  <si>
    <t>GALLETA SALVADO SELZ 600 GR</t>
  </si>
  <si>
    <t>01028105</t>
  </si>
  <si>
    <t>GALLETA SODA FAM. 180 GRS. MCKAY11262234</t>
  </si>
  <si>
    <t>PURE MANZANA ORGANIC 90GR 100 RECICLABL</t>
  </si>
  <si>
    <t>GALLETAS CRAKERS AJO P CHOICE 175 GR</t>
  </si>
  <si>
    <t>CEREAL CHOCOLATE RELLENO FLIPS 220 GR</t>
  </si>
  <si>
    <t>DAILY STEVIA 270 ML</t>
  </si>
  <si>
    <t>LPN435000001946094</t>
  </si>
  <si>
    <t>LPN435000001946101</t>
  </si>
  <si>
    <t>LPN435000001948518</t>
  </si>
  <si>
    <t>LPN435000001948833</t>
  </si>
  <si>
    <t>LPN435000001949640</t>
  </si>
  <si>
    <t>LPN435000001951659</t>
  </si>
  <si>
    <t>LPN435000001951801</t>
  </si>
  <si>
    <t>LPN435000001952811</t>
  </si>
  <si>
    <t>LPN435000001954978</t>
  </si>
  <si>
    <t>LPN435000001954999</t>
  </si>
  <si>
    <t>LPN435000001955028</t>
  </si>
  <si>
    <t>LPN435000001955638</t>
  </si>
  <si>
    <t>LPN435000001955974</t>
  </si>
  <si>
    <t>LPN435000001957148</t>
  </si>
  <si>
    <t>LPN435000001957185</t>
  </si>
  <si>
    <t>LPN435000001957462</t>
  </si>
  <si>
    <t>LPN435000001957576</t>
  </si>
  <si>
    <t>LPN435000001957577</t>
  </si>
  <si>
    <t>LPN435000001959423</t>
  </si>
  <si>
    <t>LPN435000001959435</t>
  </si>
  <si>
    <t>LPN435000001959497</t>
  </si>
  <si>
    <t>LPN435000001960793</t>
  </si>
  <si>
    <t>LPN435000001960802</t>
  </si>
  <si>
    <t>LPN435000001960846</t>
  </si>
  <si>
    <t>LPN435000001960916</t>
  </si>
  <si>
    <t>LPN435000001963690</t>
  </si>
  <si>
    <t>LPN435000001963714</t>
  </si>
  <si>
    <t>LPN435000001964022</t>
  </si>
  <si>
    <t>LPN435000001967253</t>
  </si>
  <si>
    <t>LPN435000001967718</t>
  </si>
  <si>
    <t>LPN435000001968274</t>
  </si>
  <si>
    <t>LPN435000001969890</t>
  </si>
  <si>
    <t>LPN435000001973274</t>
  </si>
  <si>
    <t>LPN435000001975513</t>
  </si>
  <si>
    <t>LPN435000001976438</t>
  </si>
  <si>
    <t>LPN435000001981973</t>
  </si>
  <si>
    <t>LPN435000001982799</t>
  </si>
  <si>
    <t>LPN435000002008360</t>
  </si>
  <si>
    <t>LPN435000002008361</t>
  </si>
  <si>
    <t>LPN435000002008362</t>
  </si>
  <si>
    <t>LPN435000002008363</t>
  </si>
  <si>
    <t>LPN435000002008364</t>
  </si>
  <si>
    <t>LPN435000002008365</t>
  </si>
  <si>
    <t>LPN435000002008366</t>
  </si>
  <si>
    <t>LPN435000002008367</t>
  </si>
  <si>
    <t>LPN435000002008368</t>
  </si>
  <si>
    <t>LPN435000002008369</t>
  </si>
  <si>
    <t>LPN435000002008370</t>
  </si>
  <si>
    <t>LPN435000002008371</t>
  </si>
  <si>
    <t>LPN435000002008372</t>
  </si>
  <si>
    <t>LPN435000002008373</t>
  </si>
  <si>
    <t>LPN435000002008374</t>
  </si>
  <si>
    <t>LPN435000002008375</t>
  </si>
  <si>
    <t>LPN435000002008376</t>
  </si>
  <si>
    <t>LPN435000002008377</t>
  </si>
  <si>
    <t>LPN435000002008378</t>
  </si>
  <si>
    <t>LPN435000002008379</t>
  </si>
  <si>
    <t>LPN435000002008380</t>
  </si>
  <si>
    <t>LPN435000002008381</t>
  </si>
  <si>
    <t>LPN435000002008382</t>
  </si>
  <si>
    <t>LPN435000002008383</t>
  </si>
  <si>
    <t>LPN435000002008384</t>
  </si>
  <si>
    <t>LPN435000002008385</t>
  </si>
  <si>
    <t>LPN435000002008386</t>
  </si>
  <si>
    <t>LPN435000002008387</t>
  </si>
  <si>
    <t>LPN435000002008388</t>
  </si>
  <si>
    <t>LPN435000002008389</t>
  </si>
  <si>
    <t>LPN435000002008390</t>
  </si>
  <si>
    <t>LPN435000002008391</t>
  </si>
  <si>
    <t>LPN435000002008392</t>
  </si>
  <si>
    <t>LPN435000002008393</t>
  </si>
  <si>
    <t>LPN435000002008394</t>
  </si>
  <si>
    <t>LPN435000002008395</t>
  </si>
  <si>
    <t>LPN435000002008396</t>
  </si>
  <si>
    <t>LPN435000002008397</t>
  </si>
  <si>
    <t>LPN435000002008398</t>
  </si>
  <si>
    <t>PARA LA OLPN</t>
  </si>
  <si>
    <t>PARA EL LOCAL</t>
  </si>
  <si>
    <t>L_D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</si>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</sst>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3" fillId="0" borderId="1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1B853-CFFC-482F-88AA-3087206282EB}" name="Tabla1" displayName="Tabla1" ref="A1:O11" totalsRowShown="0" headerRowDxfId="2" dataDxfId="1">
  <autoFilter ref="A1:O11" xr:uid="{2D61B853-CFFC-482F-88AA-3087206282EB}"/>
  <tableColumns count="15">
    <tableColumn id="1" xr3:uid="{61758E5A-8B99-428A-B0D9-B1ADFE9BE570}" name="CD" dataDxfId="16"/>
    <tableColumn id="2" xr3:uid="{47AFF61F-FF8C-4382-B36B-BCEA52FC94D1}" name="LOCAL" dataDxfId="15"/>
    <tableColumn id="3" xr3:uid="{17567B90-9C4C-403D-BB36-2B5082E188B8}" name="LPN" dataDxfId="14"/>
    <tableColumn id="4" xr3:uid="{60F5AC94-F54E-42E6-BC3B-F49005A4A4C1}" name="LPN_DESTINO" dataDxfId="13"/>
    <tableColumn id="5" xr3:uid="{908A1DDC-3CC7-4F3E-905C-99676ECA07A9}" name="LOCAL_DESTINO" dataDxfId="12"/>
    <tableColumn id="6" xr3:uid="{BBED8375-B137-412B-BE8F-7AED7BA1FB84}" name="DESCRIPTION" dataDxfId="11"/>
    <tableColumn id="7" xr3:uid="{32633AF2-4E2A-4727-93D7-539D57B54305}" name="SKU" dataDxfId="10"/>
    <tableColumn id="8" xr3:uid="{62D41484-6112-4488-8547-ABDF91EEF685}" name="EAN" dataDxfId="9"/>
    <tableColumn id="9" xr3:uid="{853982FC-F7C2-4CFD-B8B4-6C36F8120990}" name="DESCRIPCION" dataDxfId="8"/>
    <tableColumn id="10" xr3:uid="{EF54D5FC-9D53-4FD3-9DC4-E60F5D979EDF}" name="MUNDO" dataDxfId="7"/>
    <tableColumn id="11" xr3:uid="{6DD8A28F-3613-4D98-B452-5C7A540E5704}" name="UT" dataDxfId="6"/>
    <tableColumn id="12" xr3:uid="{F5392285-9437-4310-9AFB-AD42A19DEA72}" name="UNIDADES" dataDxfId="0"/>
    <tableColumn id="13" xr3:uid="{1B8E3504-EB96-4EFD-8376-D15F2AC4C683}" name="CAJAS" dataDxfId="5"/>
    <tableColumn id="14" xr3:uid="{6913B450-0C94-440C-86D8-7514DFC5A7DC}" name="UN_INI" dataDxfId="4"/>
    <tableColumn id="15" xr3:uid="{868708A0-6457-4DF1-91B4-535E8724CCA2}" name="CAJAS_INI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324B2-F71A-44A4-AC2F-B3C6B19995CA}" name="Tabla2" displayName="Tabla2" ref="A1:F40" totalsRowShown="0" headerRowDxfId="20" dataDxfId="19" headerRowBorderDxfId="25" tableBorderDxfId="26">
  <autoFilter ref="A1:F40" xr:uid="{4B0324B2-F71A-44A4-AC2F-B3C6B19995CA}"/>
  <tableColumns count="6">
    <tableColumn id="1" xr3:uid="{16D4434D-C73E-42B0-BE27-5AAE3E536595}" name="LOCAL" dataDxfId="24"/>
    <tableColumn id="2" xr3:uid="{7817C703-F844-4584-96FF-A1600D8104D4}" name="LPN" dataDxfId="23"/>
    <tableColumn id="3" xr3:uid="{B3A2B090-C52B-491D-AB78-6310F75F00B9}" name="LPN_DESTINO" dataDxfId="22"/>
    <tableColumn id="4" xr3:uid="{8A17CFC4-4E0A-450B-B470-B331C6B0B798}" name="L_D" dataDxfId="21"/>
    <tableColumn id="5" xr3:uid="{83770BBF-1EFE-48D2-932E-94934B6D2A3E}" name="PARA LA OLPN" dataDxfId="18">
      <calculatedColumnFormula>"WHEN L.TC_LPN_ID = '"&amp;Tabla2[[#This Row],[LPN]]&amp;"' THEN '"&amp;Tabla2[[#This Row],[LPN_DESTINO]]&amp;"'"</calculatedColumnFormula>
    </tableColumn>
    <tableColumn id="6" xr3:uid="{2FB7AAAE-7224-4901-A668-0F0086801A6E}" name="PARA EL LOCAL" dataDxfId="17">
      <calculatedColumnFormula>"WHEN L.TC_LPN_ID = '"&amp;Tabla2[[#This Row],[LPN]]&amp;"' THEN '"&amp;Tabla2[[#This Row],[L_D]]&amp;"'"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E0C4-3571-4AAE-9FB2-94495ACB45BD}">
  <dimension ref="A1:O11"/>
  <sheetViews>
    <sheetView tabSelected="1" workbookViewId="0">
      <selection activeCell="E15" sqref="E15"/>
    </sheetView>
  </sheetViews>
  <sheetFormatPr baseColWidth="10" defaultRowHeight="14.5" x14ac:dyDescent="0.35"/>
  <cols>
    <col min="1" max="1" width="7.90625" style="5" bestFit="1" customWidth="1"/>
    <col min="2" max="2" width="10.81640625" style="5" bestFit="1" customWidth="1"/>
    <col min="3" max="4" width="19.1796875" style="5" bestFit="1" customWidth="1"/>
    <col min="5" max="5" width="19" style="5" bestFit="1" customWidth="1"/>
    <col min="6" max="6" width="16.81640625" style="5" bestFit="1" customWidth="1"/>
    <col min="7" max="7" width="8.81640625" style="5" bestFit="1" customWidth="1"/>
    <col min="8" max="8" width="13.81640625" style="6" bestFit="1" customWidth="1"/>
    <col min="9" max="9" width="48.54296875" style="5" bestFit="1" customWidth="1"/>
    <col min="10" max="10" width="11.90625" style="5" bestFit="1" customWidth="1"/>
    <col min="11" max="11" width="7.54296875" style="5" bestFit="1" customWidth="1"/>
    <col min="12" max="12" width="14.1796875" style="5" bestFit="1" customWidth="1"/>
    <col min="13" max="13" width="10.54296875" style="5" bestFit="1" customWidth="1"/>
    <col min="14" max="14" width="11.08984375" style="5" bestFit="1" customWidth="1"/>
    <col min="15" max="15" width="42.90625" style="5" bestFit="1" customWidth="1"/>
    <col min="16" max="16384" width="10.90625" style="5"/>
  </cols>
  <sheetData>
    <row r="1" spans="1: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109</v>
      </c>
      <c r="M1" s="5" t="s">
        <v>11</v>
      </c>
      <c r="N1" s="5" t="s">
        <v>12</v>
      </c>
      <c r="O1" s="5" t="s">
        <v>13</v>
      </c>
    </row>
    <row r="2" spans="1:15" x14ac:dyDescent="0.35">
      <c r="A2" s="5">
        <v>435</v>
      </c>
      <c r="B2" s="5">
        <v>306</v>
      </c>
      <c r="C2" s="5" t="s">
        <v>14</v>
      </c>
      <c r="D2" s="5" t="s">
        <v>67</v>
      </c>
      <c r="E2" s="5">
        <v>104</v>
      </c>
      <c r="F2" s="5" t="s">
        <v>15</v>
      </c>
      <c r="G2" s="5">
        <v>20396278</v>
      </c>
      <c r="H2" s="6">
        <v>7891000240588</v>
      </c>
      <c r="I2" s="5" t="s">
        <v>20</v>
      </c>
      <c r="J2" s="5" t="s">
        <v>16</v>
      </c>
      <c r="K2" s="5">
        <v>15</v>
      </c>
      <c r="L2" s="5">
        <v>15</v>
      </c>
      <c r="M2" s="5">
        <v>0</v>
      </c>
      <c r="N2" s="5">
        <v>15</v>
      </c>
      <c r="O2" s="5">
        <v>1</v>
      </c>
    </row>
    <row r="3" spans="1:15" x14ac:dyDescent="0.35">
      <c r="A3" s="5">
        <v>435</v>
      </c>
      <c r="B3" s="5">
        <v>306</v>
      </c>
      <c r="C3" s="5" t="s">
        <v>14</v>
      </c>
      <c r="D3" s="5" t="s">
        <v>67</v>
      </c>
      <c r="E3" s="5">
        <v>104</v>
      </c>
      <c r="F3" s="5" t="s">
        <v>15</v>
      </c>
      <c r="G3" s="5">
        <v>20759015</v>
      </c>
      <c r="H3" s="6">
        <v>7797453971881</v>
      </c>
      <c r="I3" s="5" t="s">
        <v>18</v>
      </c>
      <c r="J3" s="5" t="s">
        <v>16</v>
      </c>
      <c r="K3" s="5">
        <v>4</v>
      </c>
      <c r="L3" s="5">
        <v>4</v>
      </c>
      <c r="M3" s="5">
        <v>0</v>
      </c>
      <c r="N3" s="5">
        <v>4</v>
      </c>
      <c r="O3" s="5">
        <v>1</v>
      </c>
    </row>
    <row r="4" spans="1:15" x14ac:dyDescent="0.35">
      <c r="A4" s="5">
        <v>435</v>
      </c>
      <c r="B4" s="5">
        <v>306</v>
      </c>
      <c r="C4" s="5" t="s">
        <v>14</v>
      </c>
      <c r="D4" s="5" t="s">
        <v>67</v>
      </c>
      <c r="E4" s="5">
        <v>104</v>
      </c>
      <c r="F4" s="5" t="s">
        <v>15</v>
      </c>
      <c r="G4" s="5">
        <v>20065545</v>
      </c>
      <c r="H4" s="6">
        <v>7797453972345</v>
      </c>
      <c r="I4" s="5" t="s">
        <v>19</v>
      </c>
      <c r="J4" s="5" t="s">
        <v>16</v>
      </c>
      <c r="K4" s="5">
        <v>10</v>
      </c>
      <c r="L4" s="5">
        <v>10</v>
      </c>
      <c r="M4" s="5">
        <v>0</v>
      </c>
      <c r="N4" s="5">
        <v>10</v>
      </c>
      <c r="O4" s="5">
        <v>10</v>
      </c>
    </row>
    <row r="5" spans="1:15" x14ac:dyDescent="0.35">
      <c r="A5" s="5">
        <v>435</v>
      </c>
      <c r="B5" s="5">
        <v>306</v>
      </c>
      <c r="C5" s="5" t="s">
        <v>14</v>
      </c>
      <c r="D5" s="5" t="s">
        <v>67</v>
      </c>
      <c r="E5" s="5">
        <v>104</v>
      </c>
      <c r="F5" s="5" t="s">
        <v>15</v>
      </c>
      <c r="G5" s="5">
        <v>20334860</v>
      </c>
      <c r="H5" s="6">
        <v>7797453000802</v>
      </c>
      <c r="I5" s="5" t="s">
        <v>17</v>
      </c>
      <c r="J5" s="5" t="s">
        <v>16</v>
      </c>
      <c r="K5" s="5">
        <v>12</v>
      </c>
      <c r="L5" s="5">
        <v>72</v>
      </c>
      <c r="M5" s="5">
        <v>0</v>
      </c>
      <c r="N5" s="5">
        <v>72</v>
      </c>
      <c r="O5" s="5">
        <v>6</v>
      </c>
    </row>
    <row r="6" spans="1:15" x14ac:dyDescent="0.35">
      <c r="A6" s="5">
        <v>435</v>
      </c>
      <c r="B6" s="5">
        <v>102</v>
      </c>
      <c r="C6" s="5" t="s">
        <v>21</v>
      </c>
      <c r="D6" s="5" t="s">
        <v>68</v>
      </c>
      <c r="E6" s="5">
        <v>502</v>
      </c>
      <c r="F6" s="5" t="s">
        <v>15</v>
      </c>
      <c r="G6" s="5">
        <v>80004862</v>
      </c>
      <c r="H6" s="6">
        <v>7803111003600</v>
      </c>
      <c r="I6" s="5" t="s">
        <v>27</v>
      </c>
      <c r="J6" s="5" t="s">
        <v>22</v>
      </c>
      <c r="K6" s="5">
        <v>15</v>
      </c>
      <c r="L6" s="5">
        <v>15</v>
      </c>
      <c r="M6" s="5">
        <v>0</v>
      </c>
      <c r="N6" s="5">
        <v>15</v>
      </c>
      <c r="O6" s="5">
        <v>15</v>
      </c>
    </row>
    <row r="7" spans="1:15" x14ac:dyDescent="0.35">
      <c r="A7" s="5">
        <v>435</v>
      </c>
      <c r="B7" s="5">
        <v>102</v>
      </c>
      <c r="C7" s="5" t="s">
        <v>21</v>
      </c>
      <c r="D7" s="5" t="s">
        <v>68</v>
      </c>
      <c r="E7" s="5">
        <v>502</v>
      </c>
      <c r="F7" s="5" t="s">
        <v>15</v>
      </c>
      <c r="G7" s="5">
        <v>20117066</v>
      </c>
      <c r="H7" s="6">
        <v>7809558101725</v>
      </c>
      <c r="I7" s="5" t="s">
        <v>29</v>
      </c>
      <c r="J7" s="5" t="s">
        <v>22</v>
      </c>
      <c r="K7" s="5">
        <v>36</v>
      </c>
      <c r="L7" s="5">
        <v>36</v>
      </c>
      <c r="M7" s="5">
        <v>0</v>
      </c>
      <c r="N7" s="5">
        <v>36</v>
      </c>
      <c r="O7" s="5">
        <v>36</v>
      </c>
    </row>
    <row r="8" spans="1:15" x14ac:dyDescent="0.35">
      <c r="A8" s="5">
        <v>435</v>
      </c>
      <c r="B8" s="5">
        <v>102</v>
      </c>
      <c r="C8" s="5" t="s">
        <v>21</v>
      </c>
      <c r="D8" s="5" t="s">
        <v>68</v>
      </c>
      <c r="E8" s="5">
        <v>502</v>
      </c>
      <c r="F8" s="5" t="s">
        <v>15</v>
      </c>
      <c r="G8" s="7" t="s">
        <v>24</v>
      </c>
      <c r="H8" s="6">
        <v>7802230086648</v>
      </c>
      <c r="I8" s="5" t="s">
        <v>25</v>
      </c>
      <c r="J8" s="5" t="s">
        <v>22</v>
      </c>
      <c r="K8" s="5">
        <v>20</v>
      </c>
      <c r="L8" s="5">
        <v>80</v>
      </c>
      <c r="M8" s="5">
        <v>0</v>
      </c>
      <c r="N8" s="5">
        <v>80</v>
      </c>
      <c r="O8" s="5">
        <v>80</v>
      </c>
    </row>
    <row r="9" spans="1:15" x14ac:dyDescent="0.35">
      <c r="A9" s="5">
        <v>435</v>
      </c>
      <c r="B9" s="5">
        <v>102</v>
      </c>
      <c r="C9" s="5" t="s">
        <v>21</v>
      </c>
      <c r="D9" s="5" t="s">
        <v>68</v>
      </c>
      <c r="E9" s="5">
        <v>502</v>
      </c>
      <c r="F9" s="5" t="s">
        <v>15</v>
      </c>
      <c r="G9" s="5">
        <v>21083698</v>
      </c>
      <c r="H9" s="6">
        <v>7802225681001</v>
      </c>
      <c r="I9" s="5" t="s">
        <v>23</v>
      </c>
      <c r="J9" s="5" t="s">
        <v>22</v>
      </c>
      <c r="K9" s="5">
        <v>9</v>
      </c>
      <c r="L9" s="5">
        <v>9</v>
      </c>
      <c r="M9" s="5">
        <v>0</v>
      </c>
      <c r="N9" s="5">
        <v>9</v>
      </c>
      <c r="O9" s="5">
        <v>9</v>
      </c>
    </row>
    <row r="10" spans="1:15" x14ac:dyDescent="0.35">
      <c r="A10" s="5">
        <v>435</v>
      </c>
      <c r="B10" s="5">
        <v>102</v>
      </c>
      <c r="C10" s="5" t="s">
        <v>21</v>
      </c>
      <c r="D10" s="5" t="s">
        <v>68</v>
      </c>
      <c r="E10" s="5">
        <v>502</v>
      </c>
      <c r="F10" s="5" t="s">
        <v>15</v>
      </c>
      <c r="G10" s="5">
        <v>80006235</v>
      </c>
      <c r="H10" s="6">
        <v>7591039504124</v>
      </c>
      <c r="I10" s="5" t="s">
        <v>28</v>
      </c>
      <c r="J10" s="5" t="s">
        <v>22</v>
      </c>
      <c r="K10" s="5">
        <v>24</v>
      </c>
      <c r="L10" s="5">
        <v>24</v>
      </c>
      <c r="M10" s="5">
        <v>0</v>
      </c>
      <c r="N10" s="5">
        <v>24</v>
      </c>
      <c r="O10" s="5">
        <v>1</v>
      </c>
    </row>
    <row r="11" spans="1:15" x14ac:dyDescent="0.35">
      <c r="A11" s="5">
        <v>435</v>
      </c>
      <c r="B11" s="5">
        <v>102</v>
      </c>
      <c r="C11" s="5" t="s">
        <v>21</v>
      </c>
      <c r="D11" s="5" t="s">
        <v>68</v>
      </c>
      <c r="E11" s="5">
        <v>502</v>
      </c>
      <c r="F11" s="5" t="s">
        <v>15</v>
      </c>
      <c r="G11" s="5">
        <v>20371173</v>
      </c>
      <c r="H11" s="6">
        <v>7804658021225</v>
      </c>
      <c r="I11" s="5" t="s">
        <v>26</v>
      </c>
      <c r="J11" s="5" t="s">
        <v>22</v>
      </c>
      <c r="K11" s="5">
        <v>32</v>
      </c>
      <c r="L11" s="5">
        <v>64</v>
      </c>
      <c r="M11" s="5">
        <v>0</v>
      </c>
      <c r="N11" s="5">
        <v>64</v>
      </c>
      <c r="O11" s="5">
        <v>64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C0B9-000F-4C15-9196-99B109F8BADD}">
  <dimension ref="A1:F40"/>
  <sheetViews>
    <sheetView workbookViewId="0">
      <selection activeCell="A7" sqref="A7"/>
    </sheetView>
  </sheetViews>
  <sheetFormatPr baseColWidth="10" defaultRowHeight="14.5" x14ac:dyDescent="0.35"/>
  <cols>
    <col min="1" max="1" width="10.81640625" style="5" bestFit="1" customWidth="1"/>
    <col min="2" max="3" width="19.1796875" style="5" bestFit="1" customWidth="1"/>
    <col min="4" max="4" width="8.36328125" style="5" bestFit="1" customWidth="1"/>
    <col min="5" max="5" width="62.453125" style="5" bestFit="1" customWidth="1"/>
    <col min="6" max="6" width="46.90625" style="5" bestFit="1" customWidth="1"/>
    <col min="7" max="16384" width="10.90625" style="5"/>
  </cols>
  <sheetData>
    <row r="1" spans="1:6" s="2" customFormat="1" x14ac:dyDescent="0.35">
      <c r="A1" s="1" t="s">
        <v>1</v>
      </c>
      <c r="B1" s="1" t="s">
        <v>2</v>
      </c>
      <c r="C1" s="1" t="s">
        <v>3</v>
      </c>
      <c r="D1" s="1" t="s">
        <v>108</v>
      </c>
      <c r="E1" s="1" t="s">
        <v>106</v>
      </c>
      <c r="F1" s="1" t="s">
        <v>107</v>
      </c>
    </row>
    <row r="2" spans="1:6" x14ac:dyDescent="0.35">
      <c r="A2" s="3">
        <v>306</v>
      </c>
      <c r="B2" s="3" t="s">
        <v>14</v>
      </c>
      <c r="C2" s="4" t="s">
        <v>67</v>
      </c>
      <c r="D2" s="4">
        <v>104</v>
      </c>
      <c r="E2" s="5" t="str">
        <f>"WHEN L.TC_LPN_ID = '"&amp;Tabla2[[#This Row],[LPN]]&amp;"' THEN '"&amp;Tabla2[[#This Row],[LPN_DESTINO]]&amp;"'"</f>
        <v>WHEN L.TC_LPN_ID = 'LPN435000001927731' THEN 'LPN435000002008360'</v>
      </c>
      <c r="F2" s="5" t="str">
        <f>"WHEN L.TC_LPN_ID = '"&amp;Tabla2[[#This Row],[LPN]]&amp;"' THEN '"&amp;Tabla2[[#This Row],[L_D]]&amp;"'"</f>
        <v>WHEN L.TC_LPN_ID = 'LPN435000001927731' THEN '104'</v>
      </c>
    </row>
    <row r="3" spans="1:6" x14ac:dyDescent="0.35">
      <c r="A3" s="3">
        <v>102</v>
      </c>
      <c r="B3" s="3" t="s">
        <v>21</v>
      </c>
      <c r="C3" s="4" t="s">
        <v>68</v>
      </c>
      <c r="D3" s="4">
        <v>502</v>
      </c>
      <c r="E3" s="5" t="str">
        <f>"WHEN L.TC_LPN_ID = '"&amp;Tabla2[[#This Row],[LPN]]&amp;"' THEN '"&amp;Tabla2[[#This Row],[LPN_DESTINO]]&amp;"'"</f>
        <v>WHEN L.TC_LPN_ID = 'LPN435000001944975' THEN 'LPN435000002008361'</v>
      </c>
      <c r="F3" s="5" t="str">
        <f>"WHEN L.TC_LPN_ID = '"&amp;Tabla2[[#This Row],[LPN]]&amp;"' THEN '"&amp;Tabla2[[#This Row],[L_D]]&amp;"'"</f>
        <v>WHEN L.TC_LPN_ID = 'LPN435000001944975' THEN '502'</v>
      </c>
    </row>
    <row r="4" spans="1:6" x14ac:dyDescent="0.35">
      <c r="A4" s="3">
        <v>512</v>
      </c>
      <c r="B4" s="3" t="s">
        <v>30</v>
      </c>
      <c r="C4" s="4" t="s">
        <v>69</v>
      </c>
      <c r="D4" s="4">
        <v>104</v>
      </c>
      <c r="E4" s="5" t="str">
        <f>"WHEN L.TC_LPN_ID = '"&amp;Tabla2[[#This Row],[LPN]]&amp;"' THEN '"&amp;Tabla2[[#This Row],[LPN_DESTINO]]&amp;"'"</f>
        <v>WHEN L.TC_LPN_ID = 'LPN435000001946094' THEN 'LPN435000002008362'</v>
      </c>
      <c r="F4" s="5" t="str">
        <f>"WHEN L.TC_LPN_ID = '"&amp;Tabla2[[#This Row],[LPN]]&amp;"' THEN '"&amp;Tabla2[[#This Row],[L_D]]&amp;"'"</f>
        <v>WHEN L.TC_LPN_ID = 'LPN435000001946094' THEN '104'</v>
      </c>
    </row>
    <row r="5" spans="1:6" x14ac:dyDescent="0.35">
      <c r="A5" s="3">
        <v>306</v>
      </c>
      <c r="B5" s="3" t="s">
        <v>31</v>
      </c>
      <c r="C5" s="4" t="s">
        <v>70</v>
      </c>
      <c r="D5" s="4">
        <v>502</v>
      </c>
      <c r="E5" s="5" t="str">
        <f>"WHEN L.TC_LPN_ID = '"&amp;Tabla2[[#This Row],[LPN]]&amp;"' THEN '"&amp;Tabla2[[#This Row],[LPN_DESTINO]]&amp;"'"</f>
        <v>WHEN L.TC_LPN_ID = 'LPN435000001946101' THEN 'LPN435000002008363'</v>
      </c>
      <c r="F5" s="5" t="str">
        <f>"WHEN L.TC_LPN_ID = '"&amp;Tabla2[[#This Row],[LPN]]&amp;"' THEN '"&amp;Tabla2[[#This Row],[L_D]]&amp;"'"</f>
        <v>WHEN L.TC_LPN_ID = 'LPN435000001946101' THEN '502'</v>
      </c>
    </row>
    <row r="6" spans="1:6" x14ac:dyDescent="0.35">
      <c r="A6" s="3">
        <v>313</v>
      </c>
      <c r="B6" s="3" t="s">
        <v>32</v>
      </c>
      <c r="C6" s="4" t="s">
        <v>71</v>
      </c>
      <c r="D6" s="4">
        <v>108</v>
      </c>
      <c r="E6" s="5" t="str">
        <f>"WHEN L.TC_LPN_ID = '"&amp;Tabla2[[#This Row],[LPN]]&amp;"' THEN '"&amp;Tabla2[[#This Row],[LPN_DESTINO]]&amp;"'"</f>
        <v>WHEN L.TC_LPN_ID = 'LPN435000001948518' THEN 'LPN435000002008364'</v>
      </c>
      <c r="F6" s="5" t="str">
        <f>"WHEN L.TC_LPN_ID = '"&amp;Tabla2[[#This Row],[LPN]]&amp;"' THEN '"&amp;Tabla2[[#This Row],[L_D]]&amp;"'"</f>
        <v>WHEN L.TC_LPN_ID = 'LPN435000001948518' THEN '108'</v>
      </c>
    </row>
    <row r="7" spans="1:6" x14ac:dyDescent="0.35">
      <c r="A7" s="3">
        <v>102</v>
      </c>
      <c r="B7" s="3" t="s">
        <v>33</v>
      </c>
      <c r="C7" s="4" t="s">
        <v>72</v>
      </c>
      <c r="D7" s="4">
        <v>104</v>
      </c>
      <c r="E7" s="5" t="str">
        <f>"WHEN L.TC_LPN_ID = '"&amp;Tabla2[[#This Row],[LPN]]&amp;"' THEN '"&amp;Tabla2[[#This Row],[LPN_DESTINO]]&amp;"'"</f>
        <v>WHEN L.TC_LPN_ID = 'LPN435000001948833' THEN 'LPN435000002008365'</v>
      </c>
      <c r="F7" s="5" t="str">
        <f>"WHEN L.TC_LPN_ID = '"&amp;Tabla2[[#This Row],[LPN]]&amp;"' THEN '"&amp;Tabla2[[#This Row],[L_D]]&amp;"'"</f>
        <v>WHEN L.TC_LPN_ID = 'LPN435000001948833' THEN '104'</v>
      </c>
    </row>
    <row r="8" spans="1:6" x14ac:dyDescent="0.35">
      <c r="A8" s="3">
        <v>313</v>
      </c>
      <c r="B8" s="3" t="s">
        <v>34</v>
      </c>
      <c r="C8" s="4" t="s">
        <v>73</v>
      </c>
      <c r="D8" s="4">
        <v>104</v>
      </c>
      <c r="E8" s="5" t="str">
        <f>"WHEN L.TC_LPN_ID = '"&amp;Tabla2[[#This Row],[LPN]]&amp;"' THEN '"&amp;Tabla2[[#This Row],[LPN_DESTINO]]&amp;"'"</f>
        <v>WHEN L.TC_LPN_ID = 'LPN435000001949640' THEN 'LPN435000002008366'</v>
      </c>
      <c r="F8" s="5" t="str">
        <f>"WHEN L.TC_LPN_ID = '"&amp;Tabla2[[#This Row],[LPN]]&amp;"' THEN '"&amp;Tabla2[[#This Row],[L_D]]&amp;"'"</f>
        <v>WHEN L.TC_LPN_ID = 'LPN435000001949640' THEN '104'</v>
      </c>
    </row>
    <row r="9" spans="1:6" x14ac:dyDescent="0.35">
      <c r="A9" s="3">
        <v>512</v>
      </c>
      <c r="B9" s="3" t="s">
        <v>35</v>
      </c>
      <c r="C9" s="4" t="s">
        <v>74</v>
      </c>
      <c r="D9" s="4">
        <v>132</v>
      </c>
      <c r="E9" s="5" t="str">
        <f>"WHEN L.TC_LPN_ID = '"&amp;Tabla2[[#This Row],[LPN]]&amp;"' THEN '"&amp;Tabla2[[#This Row],[LPN_DESTINO]]&amp;"'"</f>
        <v>WHEN L.TC_LPN_ID = 'LPN435000001951659' THEN 'LPN435000002008367'</v>
      </c>
      <c r="F9" s="5" t="str">
        <f>"WHEN L.TC_LPN_ID = '"&amp;Tabla2[[#This Row],[LPN]]&amp;"' THEN '"&amp;Tabla2[[#This Row],[L_D]]&amp;"'"</f>
        <v>WHEN L.TC_LPN_ID = 'LPN435000001951659' THEN '132'</v>
      </c>
    </row>
    <row r="10" spans="1:6" x14ac:dyDescent="0.35">
      <c r="A10" s="3">
        <v>306</v>
      </c>
      <c r="B10" s="3" t="s">
        <v>36</v>
      </c>
      <c r="C10" s="4" t="s">
        <v>75</v>
      </c>
      <c r="D10" s="4">
        <v>203</v>
      </c>
      <c r="E10" s="5" t="str">
        <f>"WHEN L.TC_LPN_ID = '"&amp;Tabla2[[#This Row],[LPN]]&amp;"' THEN '"&amp;Tabla2[[#This Row],[LPN_DESTINO]]&amp;"'"</f>
        <v>WHEN L.TC_LPN_ID = 'LPN435000001951801' THEN 'LPN435000002008368'</v>
      </c>
      <c r="F10" s="5" t="str">
        <f>"WHEN L.TC_LPN_ID = '"&amp;Tabla2[[#This Row],[LPN]]&amp;"' THEN '"&amp;Tabla2[[#This Row],[L_D]]&amp;"'"</f>
        <v>WHEN L.TC_LPN_ID = 'LPN435000001951801' THEN '203'</v>
      </c>
    </row>
    <row r="11" spans="1:6" x14ac:dyDescent="0.35">
      <c r="A11" s="3">
        <v>102</v>
      </c>
      <c r="B11" s="3" t="s">
        <v>37</v>
      </c>
      <c r="C11" s="4" t="s">
        <v>76</v>
      </c>
      <c r="D11" s="4">
        <v>203</v>
      </c>
      <c r="E11" s="5" t="str">
        <f>"WHEN L.TC_LPN_ID = '"&amp;Tabla2[[#This Row],[LPN]]&amp;"' THEN '"&amp;Tabla2[[#This Row],[LPN_DESTINO]]&amp;"'"</f>
        <v>WHEN L.TC_LPN_ID = 'LPN435000001952811' THEN 'LPN435000002008369'</v>
      </c>
      <c r="F11" s="5" t="str">
        <f>"WHEN L.TC_LPN_ID = '"&amp;Tabla2[[#This Row],[LPN]]&amp;"' THEN '"&amp;Tabla2[[#This Row],[L_D]]&amp;"'"</f>
        <v>WHEN L.TC_LPN_ID = 'LPN435000001952811' THEN '203'</v>
      </c>
    </row>
    <row r="12" spans="1:6" x14ac:dyDescent="0.35">
      <c r="A12" s="3">
        <v>306</v>
      </c>
      <c r="B12" s="3" t="s">
        <v>38</v>
      </c>
      <c r="C12" s="4" t="s">
        <v>77</v>
      </c>
      <c r="D12" s="4">
        <v>110</v>
      </c>
      <c r="E12" s="5" t="str">
        <f>"WHEN L.TC_LPN_ID = '"&amp;Tabla2[[#This Row],[LPN]]&amp;"' THEN '"&amp;Tabla2[[#This Row],[LPN_DESTINO]]&amp;"'"</f>
        <v>WHEN L.TC_LPN_ID = 'LPN435000001954978' THEN 'LPN435000002008370'</v>
      </c>
      <c r="F12" s="5" t="str">
        <f>"WHEN L.TC_LPN_ID = '"&amp;Tabla2[[#This Row],[LPN]]&amp;"' THEN '"&amp;Tabla2[[#This Row],[L_D]]&amp;"'"</f>
        <v>WHEN L.TC_LPN_ID = 'LPN435000001954978' THEN '110'</v>
      </c>
    </row>
    <row r="13" spans="1:6" x14ac:dyDescent="0.35">
      <c r="A13" s="3">
        <v>102</v>
      </c>
      <c r="B13" s="3" t="s">
        <v>39</v>
      </c>
      <c r="C13" s="4" t="s">
        <v>78</v>
      </c>
      <c r="D13" s="4">
        <v>121</v>
      </c>
      <c r="E13" s="5" t="str">
        <f>"WHEN L.TC_LPN_ID = '"&amp;Tabla2[[#This Row],[LPN]]&amp;"' THEN '"&amp;Tabla2[[#This Row],[LPN_DESTINO]]&amp;"'"</f>
        <v>WHEN L.TC_LPN_ID = 'LPN435000001954999' THEN 'LPN435000002008371'</v>
      </c>
      <c r="F13" s="5" t="str">
        <f>"WHEN L.TC_LPN_ID = '"&amp;Tabla2[[#This Row],[LPN]]&amp;"' THEN '"&amp;Tabla2[[#This Row],[L_D]]&amp;"'"</f>
        <v>WHEN L.TC_LPN_ID = 'LPN435000001954999' THEN '121'</v>
      </c>
    </row>
    <row r="14" spans="1:6" x14ac:dyDescent="0.35">
      <c r="A14" s="3">
        <v>505</v>
      </c>
      <c r="B14" s="3" t="s">
        <v>40</v>
      </c>
      <c r="C14" s="4" t="s">
        <v>79</v>
      </c>
      <c r="D14" s="4">
        <v>132</v>
      </c>
      <c r="E14" s="5" t="str">
        <f>"WHEN L.TC_LPN_ID = '"&amp;Tabla2[[#This Row],[LPN]]&amp;"' THEN '"&amp;Tabla2[[#This Row],[LPN_DESTINO]]&amp;"'"</f>
        <v>WHEN L.TC_LPN_ID = 'LPN435000001955028' THEN 'LPN435000002008372'</v>
      </c>
      <c r="F14" s="5" t="str">
        <f>"WHEN L.TC_LPN_ID = '"&amp;Tabla2[[#This Row],[LPN]]&amp;"' THEN '"&amp;Tabla2[[#This Row],[L_D]]&amp;"'"</f>
        <v>WHEN L.TC_LPN_ID = 'LPN435000001955028' THEN '132'</v>
      </c>
    </row>
    <row r="15" spans="1:6" x14ac:dyDescent="0.35">
      <c r="A15" s="3">
        <v>306</v>
      </c>
      <c r="B15" s="3" t="s">
        <v>41</v>
      </c>
      <c r="C15" s="4" t="s">
        <v>80</v>
      </c>
      <c r="D15" s="4">
        <v>110</v>
      </c>
      <c r="E15" s="5" t="str">
        <f>"WHEN L.TC_LPN_ID = '"&amp;Tabla2[[#This Row],[LPN]]&amp;"' THEN '"&amp;Tabla2[[#This Row],[LPN_DESTINO]]&amp;"'"</f>
        <v>WHEN L.TC_LPN_ID = 'LPN435000001955638' THEN 'LPN435000002008373'</v>
      </c>
      <c r="F15" s="5" t="str">
        <f>"WHEN L.TC_LPN_ID = '"&amp;Tabla2[[#This Row],[LPN]]&amp;"' THEN '"&amp;Tabla2[[#This Row],[L_D]]&amp;"'"</f>
        <v>WHEN L.TC_LPN_ID = 'LPN435000001955638' THEN '110'</v>
      </c>
    </row>
    <row r="16" spans="1:6" x14ac:dyDescent="0.35">
      <c r="A16" s="3">
        <v>306</v>
      </c>
      <c r="B16" s="3" t="s">
        <v>42</v>
      </c>
      <c r="C16" s="4" t="s">
        <v>81</v>
      </c>
      <c r="D16" s="4">
        <v>203</v>
      </c>
      <c r="E16" s="5" t="str">
        <f>"WHEN L.TC_LPN_ID = '"&amp;Tabla2[[#This Row],[LPN]]&amp;"' THEN '"&amp;Tabla2[[#This Row],[LPN_DESTINO]]&amp;"'"</f>
        <v>WHEN L.TC_LPN_ID = 'LPN435000001955974' THEN 'LPN435000002008374'</v>
      </c>
      <c r="F16" s="5" t="str">
        <f>"WHEN L.TC_LPN_ID = '"&amp;Tabla2[[#This Row],[LPN]]&amp;"' THEN '"&amp;Tabla2[[#This Row],[L_D]]&amp;"'"</f>
        <v>WHEN L.TC_LPN_ID = 'LPN435000001955974' THEN '203'</v>
      </c>
    </row>
    <row r="17" spans="1:6" x14ac:dyDescent="0.35">
      <c r="A17" s="3">
        <v>102</v>
      </c>
      <c r="B17" s="3" t="s">
        <v>43</v>
      </c>
      <c r="C17" s="4" t="s">
        <v>82</v>
      </c>
      <c r="D17" s="4">
        <v>502</v>
      </c>
      <c r="E17" s="5" t="str">
        <f>"WHEN L.TC_LPN_ID = '"&amp;Tabla2[[#This Row],[LPN]]&amp;"' THEN '"&amp;Tabla2[[#This Row],[LPN_DESTINO]]&amp;"'"</f>
        <v>WHEN L.TC_LPN_ID = 'LPN435000001957148' THEN 'LPN435000002008375'</v>
      </c>
      <c r="F17" s="5" t="str">
        <f>"WHEN L.TC_LPN_ID = '"&amp;Tabla2[[#This Row],[LPN]]&amp;"' THEN '"&amp;Tabla2[[#This Row],[L_D]]&amp;"'"</f>
        <v>WHEN L.TC_LPN_ID = 'LPN435000001957148' THEN '502'</v>
      </c>
    </row>
    <row r="18" spans="1:6" x14ac:dyDescent="0.35">
      <c r="A18" s="3">
        <v>102</v>
      </c>
      <c r="B18" s="3" t="s">
        <v>44</v>
      </c>
      <c r="C18" s="4" t="s">
        <v>83</v>
      </c>
      <c r="D18" s="4">
        <v>101</v>
      </c>
      <c r="E18" s="5" t="str">
        <f>"WHEN L.TC_LPN_ID = '"&amp;Tabla2[[#This Row],[LPN]]&amp;"' THEN '"&amp;Tabla2[[#This Row],[LPN_DESTINO]]&amp;"'"</f>
        <v>WHEN L.TC_LPN_ID = 'LPN435000001957185' THEN 'LPN435000002008376'</v>
      </c>
      <c r="F18" s="5" t="str">
        <f>"WHEN L.TC_LPN_ID = '"&amp;Tabla2[[#This Row],[LPN]]&amp;"' THEN '"&amp;Tabla2[[#This Row],[L_D]]&amp;"'"</f>
        <v>WHEN L.TC_LPN_ID = 'LPN435000001957185' THEN '101'</v>
      </c>
    </row>
    <row r="19" spans="1:6" x14ac:dyDescent="0.35">
      <c r="A19" s="3">
        <v>306</v>
      </c>
      <c r="B19" s="3" t="s">
        <v>45</v>
      </c>
      <c r="C19" s="4" t="s">
        <v>84</v>
      </c>
      <c r="D19" s="4">
        <v>502</v>
      </c>
      <c r="E19" s="5" t="str">
        <f>"WHEN L.TC_LPN_ID = '"&amp;Tabla2[[#This Row],[LPN]]&amp;"' THEN '"&amp;Tabla2[[#This Row],[LPN_DESTINO]]&amp;"'"</f>
        <v>WHEN L.TC_LPN_ID = 'LPN435000001957462' THEN 'LPN435000002008377'</v>
      </c>
      <c r="F19" s="5" t="str">
        <f>"WHEN L.TC_LPN_ID = '"&amp;Tabla2[[#This Row],[LPN]]&amp;"' THEN '"&amp;Tabla2[[#This Row],[L_D]]&amp;"'"</f>
        <v>WHEN L.TC_LPN_ID = 'LPN435000001957462' THEN '502'</v>
      </c>
    </row>
    <row r="20" spans="1:6" x14ac:dyDescent="0.35">
      <c r="A20" s="3">
        <v>505</v>
      </c>
      <c r="B20" s="3" t="s">
        <v>46</v>
      </c>
      <c r="C20" s="4" t="s">
        <v>85</v>
      </c>
      <c r="D20" s="4">
        <v>204</v>
      </c>
      <c r="E20" s="5" t="str">
        <f>"WHEN L.TC_LPN_ID = '"&amp;Tabla2[[#This Row],[LPN]]&amp;"' THEN '"&amp;Tabla2[[#This Row],[LPN_DESTINO]]&amp;"'"</f>
        <v>WHEN L.TC_LPN_ID = 'LPN435000001957576' THEN 'LPN435000002008378'</v>
      </c>
      <c r="F20" s="5" t="str">
        <f>"WHEN L.TC_LPN_ID = '"&amp;Tabla2[[#This Row],[LPN]]&amp;"' THEN '"&amp;Tabla2[[#This Row],[L_D]]&amp;"'"</f>
        <v>WHEN L.TC_LPN_ID = 'LPN435000001957576' THEN '204'</v>
      </c>
    </row>
    <row r="21" spans="1:6" x14ac:dyDescent="0.35">
      <c r="A21" s="3">
        <v>505</v>
      </c>
      <c r="B21" s="3" t="s">
        <v>47</v>
      </c>
      <c r="C21" s="4" t="s">
        <v>86</v>
      </c>
      <c r="D21" s="4">
        <v>204</v>
      </c>
      <c r="E21" s="5" t="str">
        <f>"WHEN L.TC_LPN_ID = '"&amp;Tabla2[[#This Row],[LPN]]&amp;"' THEN '"&amp;Tabla2[[#This Row],[LPN_DESTINO]]&amp;"'"</f>
        <v>WHEN L.TC_LPN_ID = 'LPN435000001957577' THEN 'LPN435000002008379'</v>
      </c>
      <c r="F21" s="5" t="str">
        <f>"WHEN L.TC_LPN_ID = '"&amp;Tabla2[[#This Row],[LPN]]&amp;"' THEN '"&amp;Tabla2[[#This Row],[L_D]]&amp;"'"</f>
        <v>WHEN L.TC_LPN_ID = 'LPN435000001957577' THEN '204'</v>
      </c>
    </row>
    <row r="22" spans="1:6" x14ac:dyDescent="0.35">
      <c r="A22" s="3">
        <v>313</v>
      </c>
      <c r="B22" s="3" t="s">
        <v>48</v>
      </c>
      <c r="C22" s="4" t="s">
        <v>87</v>
      </c>
      <c r="D22" s="4">
        <v>121</v>
      </c>
      <c r="E22" s="5" t="str">
        <f>"WHEN L.TC_LPN_ID = '"&amp;Tabla2[[#This Row],[LPN]]&amp;"' THEN '"&amp;Tabla2[[#This Row],[LPN_DESTINO]]&amp;"'"</f>
        <v>WHEN L.TC_LPN_ID = 'LPN435000001959423' THEN 'LPN435000002008380'</v>
      </c>
      <c r="F22" s="5" t="str">
        <f>"WHEN L.TC_LPN_ID = '"&amp;Tabla2[[#This Row],[LPN]]&amp;"' THEN '"&amp;Tabla2[[#This Row],[L_D]]&amp;"'"</f>
        <v>WHEN L.TC_LPN_ID = 'LPN435000001959423' THEN '121'</v>
      </c>
    </row>
    <row r="23" spans="1:6" x14ac:dyDescent="0.35">
      <c r="A23" s="3">
        <v>102</v>
      </c>
      <c r="B23" s="3" t="s">
        <v>49</v>
      </c>
      <c r="C23" s="4" t="s">
        <v>88</v>
      </c>
      <c r="D23" s="4">
        <v>108</v>
      </c>
      <c r="E23" s="5" t="str">
        <f>"WHEN L.TC_LPN_ID = '"&amp;Tabla2[[#This Row],[LPN]]&amp;"' THEN '"&amp;Tabla2[[#This Row],[LPN_DESTINO]]&amp;"'"</f>
        <v>WHEN L.TC_LPN_ID = 'LPN435000001959435' THEN 'LPN435000002008381'</v>
      </c>
      <c r="F23" s="5" t="str">
        <f>"WHEN L.TC_LPN_ID = '"&amp;Tabla2[[#This Row],[LPN]]&amp;"' THEN '"&amp;Tabla2[[#This Row],[L_D]]&amp;"'"</f>
        <v>WHEN L.TC_LPN_ID = 'LPN435000001959435' THEN '108'</v>
      </c>
    </row>
    <row r="24" spans="1:6" x14ac:dyDescent="0.35">
      <c r="A24" s="3">
        <v>512</v>
      </c>
      <c r="B24" s="3" t="s">
        <v>50</v>
      </c>
      <c r="C24" s="4" t="s">
        <v>89</v>
      </c>
      <c r="D24" s="4">
        <v>502</v>
      </c>
      <c r="E24" s="5" t="str">
        <f>"WHEN L.TC_LPN_ID = '"&amp;Tabla2[[#This Row],[LPN]]&amp;"' THEN '"&amp;Tabla2[[#This Row],[LPN_DESTINO]]&amp;"'"</f>
        <v>WHEN L.TC_LPN_ID = 'LPN435000001959497' THEN 'LPN435000002008382'</v>
      </c>
      <c r="F24" s="5" t="str">
        <f>"WHEN L.TC_LPN_ID = '"&amp;Tabla2[[#This Row],[LPN]]&amp;"' THEN '"&amp;Tabla2[[#This Row],[L_D]]&amp;"'"</f>
        <v>WHEN L.TC_LPN_ID = 'LPN435000001959497' THEN '502'</v>
      </c>
    </row>
    <row r="25" spans="1:6" x14ac:dyDescent="0.35">
      <c r="A25" s="3">
        <v>102</v>
      </c>
      <c r="B25" s="3" t="s">
        <v>51</v>
      </c>
      <c r="C25" s="4" t="s">
        <v>90</v>
      </c>
      <c r="D25" s="4">
        <v>502</v>
      </c>
      <c r="E25" s="5" t="str">
        <f>"WHEN L.TC_LPN_ID = '"&amp;Tabla2[[#This Row],[LPN]]&amp;"' THEN '"&amp;Tabla2[[#This Row],[LPN_DESTINO]]&amp;"'"</f>
        <v>WHEN L.TC_LPN_ID = 'LPN435000001960793' THEN 'LPN435000002008383'</v>
      </c>
      <c r="F25" s="5" t="str">
        <f>"WHEN L.TC_LPN_ID = '"&amp;Tabla2[[#This Row],[LPN]]&amp;"' THEN '"&amp;Tabla2[[#This Row],[L_D]]&amp;"'"</f>
        <v>WHEN L.TC_LPN_ID = 'LPN435000001960793' THEN '502'</v>
      </c>
    </row>
    <row r="26" spans="1:6" x14ac:dyDescent="0.35">
      <c r="A26" s="3">
        <v>102</v>
      </c>
      <c r="B26" s="3" t="s">
        <v>52</v>
      </c>
      <c r="C26" s="4" t="s">
        <v>91</v>
      </c>
      <c r="D26" s="4">
        <v>502</v>
      </c>
      <c r="E26" s="5" t="str">
        <f>"WHEN L.TC_LPN_ID = '"&amp;Tabla2[[#This Row],[LPN]]&amp;"' THEN '"&amp;Tabla2[[#This Row],[LPN_DESTINO]]&amp;"'"</f>
        <v>WHEN L.TC_LPN_ID = 'LPN435000001960802' THEN 'LPN435000002008384'</v>
      </c>
      <c r="F26" s="5" t="str">
        <f>"WHEN L.TC_LPN_ID = '"&amp;Tabla2[[#This Row],[LPN]]&amp;"' THEN '"&amp;Tabla2[[#This Row],[L_D]]&amp;"'"</f>
        <v>WHEN L.TC_LPN_ID = 'LPN435000001960802' THEN '502'</v>
      </c>
    </row>
    <row r="27" spans="1:6" x14ac:dyDescent="0.35">
      <c r="A27" s="3">
        <v>306</v>
      </c>
      <c r="B27" s="3" t="s">
        <v>53</v>
      </c>
      <c r="C27" s="4" t="s">
        <v>92</v>
      </c>
      <c r="D27" s="4">
        <v>204</v>
      </c>
      <c r="E27" s="5" t="str">
        <f>"WHEN L.TC_LPN_ID = '"&amp;Tabla2[[#This Row],[LPN]]&amp;"' THEN '"&amp;Tabla2[[#This Row],[LPN_DESTINO]]&amp;"'"</f>
        <v>WHEN L.TC_LPN_ID = 'LPN435000001960846' THEN 'LPN435000002008385'</v>
      </c>
      <c r="F27" s="5" t="str">
        <f>"WHEN L.TC_LPN_ID = '"&amp;Tabla2[[#This Row],[LPN]]&amp;"' THEN '"&amp;Tabla2[[#This Row],[L_D]]&amp;"'"</f>
        <v>WHEN L.TC_LPN_ID = 'LPN435000001960846' THEN '204'</v>
      </c>
    </row>
    <row r="28" spans="1:6" x14ac:dyDescent="0.35">
      <c r="A28" s="3">
        <v>512</v>
      </c>
      <c r="B28" s="3" t="s">
        <v>54</v>
      </c>
      <c r="C28" s="4" t="s">
        <v>93</v>
      </c>
      <c r="D28" s="4">
        <v>104</v>
      </c>
      <c r="E28" s="5" t="str">
        <f>"WHEN L.TC_LPN_ID = '"&amp;Tabla2[[#This Row],[LPN]]&amp;"' THEN '"&amp;Tabla2[[#This Row],[LPN_DESTINO]]&amp;"'"</f>
        <v>WHEN L.TC_LPN_ID = 'LPN435000001960916' THEN 'LPN435000002008386'</v>
      </c>
      <c r="F28" s="5" t="str">
        <f>"WHEN L.TC_LPN_ID = '"&amp;Tabla2[[#This Row],[LPN]]&amp;"' THEN '"&amp;Tabla2[[#This Row],[L_D]]&amp;"'"</f>
        <v>WHEN L.TC_LPN_ID = 'LPN435000001960916' THEN '104'</v>
      </c>
    </row>
    <row r="29" spans="1:6" x14ac:dyDescent="0.35">
      <c r="A29" s="3">
        <v>102</v>
      </c>
      <c r="B29" s="3" t="s">
        <v>55</v>
      </c>
      <c r="C29" s="4" t="s">
        <v>94</v>
      </c>
      <c r="D29" s="4">
        <v>502</v>
      </c>
      <c r="E29" s="5" t="str">
        <f>"WHEN L.TC_LPN_ID = '"&amp;Tabla2[[#This Row],[LPN]]&amp;"' THEN '"&amp;Tabla2[[#This Row],[LPN_DESTINO]]&amp;"'"</f>
        <v>WHEN L.TC_LPN_ID = 'LPN435000001963690' THEN 'LPN435000002008387'</v>
      </c>
      <c r="F29" s="5" t="str">
        <f>"WHEN L.TC_LPN_ID = '"&amp;Tabla2[[#This Row],[LPN]]&amp;"' THEN '"&amp;Tabla2[[#This Row],[L_D]]&amp;"'"</f>
        <v>WHEN L.TC_LPN_ID = 'LPN435000001963690' THEN '502'</v>
      </c>
    </row>
    <row r="30" spans="1:6" x14ac:dyDescent="0.35">
      <c r="A30" s="3">
        <v>505</v>
      </c>
      <c r="B30" s="3" t="s">
        <v>56</v>
      </c>
      <c r="C30" s="4" t="s">
        <v>95</v>
      </c>
      <c r="D30" s="4">
        <v>110</v>
      </c>
      <c r="E30" s="5" t="str">
        <f>"WHEN L.TC_LPN_ID = '"&amp;Tabla2[[#This Row],[LPN]]&amp;"' THEN '"&amp;Tabla2[[#This Row],[LPN_DESTINO]]&amp;"'"</f>
        <v>WHEN L.TC_LPN_ID = 'LPN435000001963714' THEN 'LPN435000002008388'</v>
      </c>
      <c r="F30" s="5" t="str">
        <f>"WHEN L.TC_LPN_ID = '"&amp;Tabla2[[#This Row],[LPN]]&amp;"' THEN '"&amp;Tabla2[[#This Row],[L_D]]&amp;"'"</f>
        <v>WHEN L.TC_LPN_ID = 'LPN435000001963714' THEN '110'</v>
      </c>
    </row>
    <row r="31" spans="1:6" x14ac:dyDescent="0.35">
      <c r="A31" s="3">
        <v>313</v>
      </c>
      <c r="B31" s="3" t="s">
        <v>57</v>
      </c>
      <c r="C31" s="4" t="s">
        <v>96</v>
      </c>
      <c r="D31" s="4">
        <v>121</v>
      </c>
      <c r="E31" s="5" t="str">
        <f>"WHEN L.TC_LPN_ID = '"&amp;Tabla2[[#This Row],[LPN]]&amp;"' THEN '"&amp;Tabla2[[#This Row],[LPN_DESTINO]]&amp;"'"</f>
        <v>WHEN L.TC_LPN_ID = 'LPN435000001964022' THEN 'LPN435000002008389'</v>
      </c>
      <c r="F31" s="5" t="str">
        <f>"WHEN L.TC_LPN_ID = '"&amp;Tabla2[[#This Row],[LPN]]&amp;"' THEN '"&amp;Tabla2[[#This Row],[L_D]]&amp;"'"</f>
        <v>WHEN L.TC_LPN_ID = 'LPN435000001964022' THEN '121'</v>
      </c>
    </row>
    <row r="32" spans="1:6" x14ac:dyDescent="0.35">
      <c r="A32" s="3">
        <v>306</v>
      </c>
      <c r="B32" s="3" t="s">
        <v>58</v>
      </c>
      <c r="C32" s="4" t="s">
        <v>97</v>
      </c>
      <c r="D32" s="4">
        <v>121</v>
      </c>
      <c r="E32" s="5" t="str">
        <f>"WHEN L.TC_LPN_ID = '"&amp;Tabla2[[#This Row],[LPN]]&amp;"' THEN '"&amp;Tabla2[[#This Row],[LPN_DESTINO]]&amp;"'"</f>
        <v>WHEN L.TC_LPN_ID = 'LPN435000001967253' THEN 'LPN435000002008390'</v>
      </c>
      <c r="F32" s="5" t="str">
        <f>"WHEN L.TC_LPN_ID = '"&amp;Tabla2[[#This Row],[LPN]]&amp;"' THEN '"&amp;Tabla2[[#This Row],[L_D]]&amp;"'"</f>
        <v>WHEN L.TC_LPN_ID = 'LPN435000001967253' THEN '121'</v>
      </c>
    </row>
    <row r="33" spans="1:6" x14ac:dyDescent="0.35">
      <c r="A33" s="3">
        <v>512</v>
      </c>
      <c r="B33" s="3" t="s">
        <v>59</v>
      </c>
      <c r="C33" s="4" t="s">
        <v>98</v>
      </c>
      <c r="D33" s="4">
        <v>104</v>
      </c>
      <c r="E33" s="5" t="str">
        <f>"WHEN L.TC_LPN_ID = '"&amp;Tabla2[[#This Row],[LPN]]&amp;"' THEN '"&amp;Tabla2[[#This Row],[LPN_DESTINO]]&amp;"'"</f>
        <v>WHEN L.TC_LPN_ID = 'LPN435000001967718' THEN 'LPN435000002008391'</v>
      </c>
      <c r="F33" s="5" t="str">
        <f>"WHEN L.TC_LPN_ID = '"&amp;Tabla2[[#This Row],[LPN]]&amp;"' THEN '"&amp;Tabla2[[#This Row],[L_D]]&amp;"'"</f>
        <v>WHEN L.TC_LPN_ID = 'LPN435000001967718' THEN '104'</v>
      </c>
    </row>
    <row r="34" spans="1:6" x14ac:dyDescent="0.35">
      <c r="A34" s="3">
        <v>505</v>
      </c>
      <c r="B34" s="3" t="s">
        <v>60</v>
      </c>
      <c r="C34" s="4" t="s">
        <v>99</v>
      </c>
      <c r="D34" s="4">
        <v>104</v>
      </c>
      <c r="E34" s="5" t="str">
        <f>"WHEN L.TC_LPN_ID = '"&amp;Tabla2[[#This Row],[LPN]]&amp;"' THEN '"&amp;Tabla2[[#This Row],[LPN_DESTINO]]&amp;"'"</f>
        <v>WHEN L.TC_LPN_ID = 'LPN435000001968274' THEN 'LPN435000002008392'</v>
      </c>
      <c r="F34" s="5" t="str">
        <f>"WHEN L.TC_LPN_ID = '"&amp;Tabla2[[#This Row],[LPN]]&amp;"' THEN '"&amp;Tabla2[[#This Row],[L_D]]&amp;"'"</f>
        <v>WHEN L.TC_LPN_ID = 'LPN435000001968274' THEN '104'</v>
      </c>
    </row>
    <row r="35" spans="1:6" x14ac:dyDescent="0.35">
      <c r="A35" s="3">
        <v>512</v>
      </c>
      <c r="B35" s="3" t="s">
        <v>61</v>
      </c>
      <c r="C35" s="4" t="s">
        <v>100</v>
      </c>
      <c r="D35" s="4">
        <v>121</v>
      </c>
      <c r="E35" s="5" t="str">
        <f>"WHEN L.TC_LPN_ID = '"&amp;Tabla2[[#This Row],[LPN]]&amp;"' THEN '"&amp;Tabla2[[#This Row],[LPN_DESTINO]]&amp;"'"</f>
        <v>WHEN L.TC_LPN_ID = 'LPN435000001969890' THEN 'LPN435000002008393'</v>
      </c>
      <c r="F35" s="5" t="str">
        <f>"WHEN L.TC_LPN_ID = '"&amp;Tabla2[[#This Row],[LPN]]&amp;"' THEN '"&amp;Tabla2[[#This Row],[L_D]]&amp;"'"</f>
        <v>WHEN L.TC_LPN_ID = 'LPN435000001969890' THEN '121'</v>
      </c>
    </row>
    <row r="36" spans="1:6" x14ac:dyDescent="0.35">
      <c r="A36" s="3">
        <v>512</v>
      </c>
      <c r="B36" s="3" t="s">
        <v>62</v>
      </c>
      <c r="C36" s="4" t="s">
        <v>101</v>
      </c>
      <c r="D36" s="4">
        <v>110</v>
      </c>
      <c r="E36" s="5" t="str">
        <f>"WHEN L.TC_LPN_ID = '"&amp;Tabla2[[#This Row],[LPN]]&amp;"' THEN '"&amp;Tabla2[[#This Row],[LPN_DESTINO]]&amp;"'"</f>
        <v>WHEN L.TC_LPN_ID = 'LPN435000001973274' THEN 'LPN435000002008394'</v>
      </c>
      <c r="F36" s="5" t="str">
        <f>"WHEN L.TC_LPN_ID = '"&amp;Tabla2[[#This Row],[LPN]]&amp;"' THEN '"&amp;Tabla2[[#This Row],[L_D]]&amp;"'"</f>
        <v>WHEN L.TC_LPN_ID = 'LPN435000001973274' THEN '110'</v>
      </c>
    </row>
    <row r="37" spans="1:6" x14ac:dyDescent="0.35">
      <c r="A37" s="3">
        <v>505</v>
      </c>
      <c r="B37" s="3" t="s">
        <v>63</v>
      </c>
      <c r="C37" s="4" t="s">
        <v>102</v>
      </c>
      <c r="D37" s="4">
        <v>502</v>
      </c>
      <c r="E37" s="5" t="str">
        <f>"WHEN L.TC_LPN_ID = '"&amp;Tabla2[[#This Row],[LPN]]&amp;"' THEN '"&amp;Tabla2[[#This Row],[LPN_DESTINO]]&amp;"'"</f>
        <v>WHEN L.TC_LPN_ID = 'LPN435000001975513' THEN 'LPN435000002008395'</v>
      </c>
      <c r="F37" s="5" t="str">
        <f>"WHEN L.TC_LPN_ID = '"&amp;Tabla2[[#This Row],[LPN]]&amp;"' THEN '"&amp;Tabla2[[#This Row],[L_D]]&amp;"'"</f>
        <v>WHEN L.TC_LPN_ID = 'LPN435000001975513' THEN '502'</v>
      </c>
    </row>
    <row r="38" spans="1:6" x14ac:dyDescent="0.35">
      <c r="A38" s="3">
        <v>306</v>
      </c>
      <c r="B38" s="3" t="s">
        <v>64</v>
      </c>
      <c r="C38" s="4" t="s">
        <v>103</v>
      </c>
      <c r="D38" s="4">
        <v>121</v>
      </c>
      <c r="E38" s="5" t="str">
        <f>"WHEN L.TC_LPN_ID = '"&amp;Tabla2[[#This Row],[LPN]]&amp;"' THEN '"&amp;Tabla2[[#This Row],[LPN_DESTINO]]&amp;"'"</f>
        <v>WHEN L.TC_LPN_ID = 'LPN435000001976438' THEN 'LPN435000002008396'</v>
      </c>
      <c r="F38" s="5" t="str">
        <f>"WHEN L.TC_LPN_ID = '"&amp;Tabla2[[#This Row],[LPN]]&amp;"' THEN '"&amp;Tabla2[[#This Row],[L_D]]&amp;"'"</f>
        <v>WHEN L.TC_LPN_ID = 'LPN435000001976438' THEN '121'</v>
      </c>
    </row>
    <row r="39" spans="1:6" x14ac:dyDescent="0.35">
      <c r="A39" s="3">
        <v>313</v>
      </c>
      <c r="B39" s="3" t="s">
        <v>65</v>
      </c>
      <c r="C39" s="4" t="s">
        <v>104</v>
      </c>
      <c r="D39" s="4">
        <v>502</v>
      </c>
      <c r="E39" s="5" t="str">
        <f>"WHEN L.TC_LPN_ID = '"&amp;Tabla2[[#This Row],[LPN]]&amp;"' THEN '"&amp;Tabla2[[#This Row],[LPN_DESTINO]]&amp;"'"</f>
        <v>WHEN L.TC_LPN_ID = 'LPN435000001981973' THEN 'LPN435000002008397'</v>
      </c>
      <c r="F39" s="5" t="str">
        <f>"WHEN L.TC_LPN_ID = '"&amp;Tabla2[[#This Row],[LPN]]&amp;"' THEN '"&amp;Tabla2[[#This Row],[L_D]]&amp;"'"</f>
        <v>WHEN L.TC_LPN_ID = 'LPN435000001981973' THEN '502'</v>
      </c>
    </row>
    <row r="40" spans="1:6" x14ac:dyDescent="0.35">
      <c r="A40" s="3">
        <v>512</v>
      </c>
      <c r="B40" s="3" t="s">
        <v>66</v>
      </c>
      <c r="C40" s="4" t="s">
        <v>105</v>
      </c>
      <c r="D40" s="4">
        <v>104</v>
      </c>
      <c r="E40" s="5" t="str">
        <f>"WHEN L.TC_LPN_ID = '"&amp;Tabla2[[#This Row],[LPN]]&amp;"' THEN '"&amp;Tabla2[[#This Row],[LPN_DESTINO]]&amp;"'"</f>
        <v>WHEN L.TC_LPN_ID = 'LPN435000001982799' THEN 'LPN435000002008398'</v>
      </c>
      <c r="F40" s="5" t="str">
        <f>"WHEN L.TC_LPN_ID = '"&amp;Tabla2[[#This Row],[LPN]]&amp;"' THEN '"&amp;Tabla2[[#This Row],[L_D]]&amp;"'"</f>
        <v>WHEN L.TC_LPN_ID = 'LPN435000001982799' THEN '104'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SM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B Salas C</dc:creator>
  <cp:lastModifiedBy>Maximiliano B Salas C</cp:lastModifiedBy>
  <dcterms:created xsi:type="dcterms:W3CDTF">2026-01-28T12:50:15Z</dcterms:created>
  <dcterms:modified xsi:type="dcterms:W3CDTF">2026-01-28T12:52:17Z</dcterms:modified>
</cp:coreProperties>
</file>